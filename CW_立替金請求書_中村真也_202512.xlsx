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C996D041-A365-4ACF-A580-DD7CE96F302E}" xr6:coauthVersionLast="47" xr6:coauthVersionMax="47" xr10:uidLastSave="{00000000-0000-0000-0000-000000000000}"/>
  <bookViews>
    <workbookView xWindow="390" yWindow="390" windowWidth="24135" windowHeight="13905" activeTab="1" xr2:uid="{00000000-000D-0000-FFFF-FFFF00000000}"/>
  </bookViews>
  <sheets>
    <sheet name="見本" sheetId="1" r:id="rId1"/>
    <sheet name="yym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hmhcWp/U1REaBtFdAOULIFC2uoZ2YrVve1aOHa8mH0="/>
    </ext>
  </extLst>
</workbook>
</file>

<file path=xl/calcChain.xml><?xml version="1.0" encoding="utf-8"?>
<calcChain xmlns="http://schemas.openxmlformats.org/spreadsheetml/2006/main">
  <c r="J42" i="2" l="1"/>
  <c r="I42" i="2"/>
  <c r="H42" i="2"/>
  <c r="G42" i="2"/>
  <c r="F42" i="2"/>
  <c r="E42" i="2"/>
  <c r="D42" i="2"/>
  <c r="L57" i="1"/>
  <c r="E8" i="1" s="1"/>
  <c r="J56" i="1"/>
  <c r="I56" i="1"/>
  <c r="H56" i="1"/>
  <c r="G56" i="1"/>
  <c r="F56" i="1"/>
  <c r="E56" i="1"/>
  <c r="D56" i="1"/>
  <c r="L43" i="2" l="1"/>
  <c r="E8" i="2" s="1"/>
</calcChain>
</file>

<file path=xl/sharedStrings.xml><?xml version="1.0" encoding="utf-8"?>
<sst xmlns="http://schemas.openxmlformats.org/spreadsheetml/2006/main" count="140" uniqueCount="41">
  <si>
    <t>立　替　金　請　求　書</t>
  </si>
  <si>
    <t>承認</t>
  </si>
  <si>
    <t>立 替 金 額 ： 　　　　                                             円</t>
  </si>
  <si>
    <r>
      <rPr>
        <sz val="11"/>
        <color theme="1"/>
        <rFont val="MS PGothic"/>
        <family val="3"/>
        <charset val="128"/>
      </rPr>
      <t>氏名：</t>
    </r>
    <r>
      <rPr>
        <sz val="11"/>
        <color rgb="FFFF0000"/>
        <rFont val="ＭＳ Ｐゴシック"/>
        <family val="3"/>
        <charset val="128"/>
      </rPr>
      <t>●●　●●</t>
    </r>
  </si>
  <si>
    <t>印</t>
  </si>
  <si>
    <t>日付</t>
  </si>
  <si>
    <t>旅費交通費</t>
  </si>
  <si>
    <t>打合せ費</t>
  </si>
  <si>
    <t>交際費</t>
  </si>
  <si>
    <t>ガソリン代</t>
  </si>
  <si>
    <t>通信費</t>
  </si>
  <si>
    <t>宿泊日当</t>
  </si>
  <si>
    <t>その他</t>
  </si>
  <si>
    <t>案件名</t>
  </si>
  <si>
    <t>内容</t>
  </si>
  <si>
    <t>領収書</t>
  </si>
  <si>
    <t>支払先/内容/内訳</t>
  </si>
  <si>
    <t>有無</t>
  </si>
  <si>
    <t>No.</t>
  </si>
  <si>
    <t>○</t>
  </si>
  <si>
    <t>東大海洋研</t>
  </si>
  <si>
    <t>JR/五反田⇔●●</t>
  </si>
  <si>
    <t>共立合金</t>
  </si>
  <si>
    <t>高速代/○○⇒●●</t>
  </si>
  <si>
    <t>有</t>
  </si>
  <si>
    <t>守谷市役所</t>
  </si>
  <si>
    <t>ENEOS/ガソリン代</t>
  </si>
  <si>
    <t>三田国際学園</t>
  </si>
  <si>
    <t>タイムス/駐車場代</t>
  </si>
  <si>
    <t>○○ホテル/宿泊代</t>
  </si>
  <si>
    <t>○日分の日当</t>
  </si>
  <si>
    <t>宅急便/○○⇒●●</t>
  </si>
  <si>
    <t>（小計）</t>
  </si>
  <si>
    <t>(合計）</t>
  </si>
  <si>
    <t>通勤</t>
  </si>
  <si>
    <t>無</t>
  </si>
  <si>
    <t>JR小岩 ⇔ 都営バス 境川</t>
    <rPh sb="7" eb="9">
      <t>トエイ</t>
    </rPh>
    <rPh sb="12" eb="14">
      <t>サカイガワ</t>
    </rPh>
    <phoneticPr fontId="12"/>
  </si>
  <si>
    <t>氏名：    中村 真也</t>
    <phoneticPr fontId="12"/>
  </si>
  <si>
    <t>JR小岩 → 都営バス 境川</t>
    <rPh sb="7" eb="9">
      <t>トエイ</t>
    </rPh>
    <rPh sb="12" eb="14">
      <t>サカイガワ</t>
    </rPh>
    <phoneticPr fontId="12"/>
  </si>
  <si>
    <t>都営バス 境川 → JR五反田</t>
    <rPh sb="0" eb="2">
      <t>トエイ</t>
    </rPh>
    <rPh sb="5" eb="7">
      <t>サカイガワ</t>
    </rPh>
    <rPh sb="12" eb="15">
      <t>ゴタンダ</t>
    </rPh>
    <phoneticPr fontId="12"/>
  </si>
  <si>
    <t>JR五反田 → JR小岩</t>
    <rPh sb="2" eb="5">
      <t>ゴタンダ</t>
    </rPh>
    <rPh sb="10" eb="12">
      <t>コイワ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</si>
</sst>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176" formatCode="_ &quot;¥&quot;#,##0_ ;_ &quot;¥&quot;* \-#,##0_ ;_ &quot;¥&quot;* &quot;-&quot;_ ;_ @_ "/>
    <numFmt numFmtId="177" formatCode="&quot;-&quot;#,##0&quot;-&quot;"/>
  </numFmts>
  <fonts count="13">
    <font>
      <sz val="11"/>
      <color rgb="FF000000"/>
      <name val="Calibri"/>
      <scheme val="minor"/>
    </font>
    <font>
      <b/>
      <sz val="22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name val="Calibri"/>
      <family val="2"/>
    </font>
    <font>
      <b/>
      <sz val="14"/>
      <color theme="1"/>
      <name val="MS PGothic"/>
      <family val="3"/>
      <charset val="128"/>
    </font>
    <font>
      <sz val="18"/>
      <color theme="1"/>
      <name val="MS PGothic"/>
      <family val="3"/>
      <charset val="128"/>
    </font>
    <font>
      <sz val="10"/>
      <color rgb="FFFF0000"/>
      <name val="MS PGothic"/>
      <family val="3"/>
      <charset val="128"/>
    </font>
    <font>
      <sz val="9"/>
      <color rgb="FFFF0000"/>
      <name val="MS PGothic"/>
      <family val="3"/>
      <charset val="128"/>
    </font>
    <font>
      <sz val="10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0" fontId="2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2" fontId="3" fillId="0" borderId="31" xfId="0" applyNumberFormat="1" applyFont="1" applyBorder="1" applyAlignment="1">
      <alignment vertical="center"/>
    </xf>
    <xf numFmtId="42" fontId="3" fillId="0" borderId="32" xfId="0" applyNumberFormat="1" applyFont="1" applyBorder="1" applyAlignment="1">
      <alignment vertical="center"/>
    </xf>
    <xf numFmtId="42" fontId="3" fillId="0" borderId="33" xfId="0" applyNumberFormat="1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shrinkToFit="1"/>
    </xf>
    <xf numFmtId="42" fontId="3" fillId="0" borderId="38" xfId="0" applyNumberFormat="1" applyFont="1" applyBorder="1" applyAlignment="1">
      <alignment vertical="center"/>
    </xf>
    <xf numFmtId="42" fontId="3" fillId="0" borderId="39" xfId="0" applyNumberFormat="1" applyFont="1" applyBorder="1" applyAlignment="1">
      <alignment vertical="center"/>
    </xf>
    <xf numFmtId="42" fontId="3" fillId="0" borderId="40" xfId="0" applyNumberFormat="1" applyFont="1" applyBorder="1" applyAlignment="1">
      <alignment vertical="center" shrinkToFit="1"/>
    </xf>
    <xf numFmtId="0" fontId="7" fillId="0" borderId="42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42" fontId="3" fillId="0" borderId="47" xfId="0" applyNumberFormat="1" applyFont="1" applyBorder="1" applyAlignment="1">
      <alignment vertical="center"/>
    </xf>
    <xf numFmtId="42" fontId="3" fillId="0" borderId="48" xfId="0" applyNumberFormat="1" applyFont="1" applyBorder="1" applyAlignment="1">
      <alignment vertical="center"/>
    </xf>
    <xf numFmtId="42" fontId="3" fillId="0" borderId="49" xfId="0" applyNumberFormat="1" applyFont="1" applyBorder="1" applyAlignment="1">
      <alignment vertical="center" shrinkToFit="1"/>
    </xf>
    <xf numFmtId="0" fontId="7" fillId="0" borderId="5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3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42" fontId="2" fillId="0" borderId="0" xfId="0" applyNumberFormat="1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vertical="center" shrinkToFit="1"/>
    </xf>
    <xf numFmtId="42" fontId="2" fillId="0" borderId="40" xfId="0" applyNumberFormat="1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41" fontId="2" fillId="0" borderId="56" xfId="0" applyNumberFormat="1" applyFont="1" applyBorder="1" applyAlignment="1">
      <alignment vertical="center"/>
    </xf>
    <xf numFmtId="41" fontId="2" fillId="0" borderId="57" xfId="0" applyNumberFormat="1" applyFont="1" applyBorder="1" applyAlignment="1">
      <alignment vertical="center"/>
    </xf>
    <xf numFmtId="41" fontId="2" fillId="0" borderId="58" xfId="0" applyNumberFormat="1" applyFont="1" applyBorder="1" applyAlignment="1">
      <alignment vertical="center"/>
    </xf>
    <xf numFmtId="0" fontId="10" fillId="0" borderId="59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horizontal="center" vertical="center" shrinkToFit="1"/>
    </xf>
    <xf numFmtId="42" fontId="2" fillId="0" borderId="39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58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 shrinkToFit="1"/>
    </xf>
    <xf numFmtId="0" fontId="4" fillId="0" borderId="2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76" fontId="6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7" fillId="0" borderId="34" xfId="0" applyFont="1" applyBorder="1" applyAlignment="1">
      <alignment horizontal="center" vertical="center" shrinkToFi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3" fillId="0" borderId="32" xfId="0" applyFont="1" applyBorder="1" applyAlignment="1">
      <alignment horizontal="center" vertical="center" shrinkToFit="1"/>
    </xf>
    <xf numFmtId="0" fontId="4" fillId="0" borderId="37" xfId="0" applyFont="1" applyBorder="1" applyAlignment="1">
      <alignment vertical="center"/>
    </xf>
    <xf numFmtId="0" fontId="8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7" fillId="0" borderId="4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8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4" fillId="0" borderId="53" xfId="0" applyFont="1" applyBorder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42" fontId="2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2" fillId="0" borderId="6" xfId="0" applyFont="1" applyBorder="1" applyAlignment="1">
      <alignment horizontal="center" vertical="center" shrinkToFit="1"/>
    </xf>
    <xf numFmtId="0" fontId="4" fillId="0" borderId="54" xfId="0" applyFont="1" applyBorder="1" applyAlignment="1">
      <alignment vertical="center"/>
    </xf>
    <xf numFmtId="0" fontId="2" fillId="0" borderId="34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36" xfId="0" applyFont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42" fontId="2" fillId="2" borderId="38" xfId="0" applyNumberFormat="1" applyFont="1" applyFill="1" applyBorder="1" applyAlignment="1">
      <alignment vertical="center" shrinkToFit="1"/>
    </xf>
    <xf numFmtId="42" fontId="2" fillId="2" borderId="38" xfId="0" applyNumberFormat="1" applyFont="1" applyFill="1" applyBorder="1" applyAlignment="1">
      <alignment horizontal="center" vertical="center" shrinkToFit="1"/>
    </xf>
    <xf numFmtId="42" fontId="2" fillId="2" borderId="39" xfId="0" applyNumberFormat="1" applyFont="1" applyFill="1" applyBorder="1" applyAlignment="1">
      <alignment horizontal="center" vertical="center" shrinkToFit="1"/>
    </xf>
    <xf numFmtId="42" fontId="2" fillId="2" borderId="40" xfId="0" applyNumberFormat="1" applyFont="1" applyFill="1" applyBorder="1" applyAlignment="1">
      <alignment horizontal="center" vertical="center" shrinkToFit="1"/>
    </xf>
    <xf numFmtId="0" fontId="2" fillId="2" borderId="41" xfId="0" applyFont="1" applyFill="1" applyBorder="1" applyAlignment="1">
      <alignment horizontal="center" vertical="center" shrinkToFit="1"/>
    </xf>
    <xf numFmtId="0" fontId="2" fillId="2" borderId="42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9" fillId="2" borderId="42" xfId="0" applyFont="1" applyFill="1" applyBorder="1" applyAlignment="1">
      <alignment horizontal="center" vertical="center" shrinkToFit="1"/>
    </xf>
    <xf numFmtId="0" fontId="2" fillId="2" borderId="39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18</xdr:row>
      <xdr:rowOff>171450</xdr:rowOff>
    </xdr:from>
    <xdr:ext cx="15335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93525" y="3599025"/>
          <a:ext cx="1504950" cy="361950"/>
        </a:xfrm>
        <a:prstGeom prst="wedgeRectCallout">
          <a:avLst>
            <a:gd name="adj1" fmla="val -45389"/>
            <a:gd name="adj2" fmla="val -100271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電車代はIC料金で記載</a:t>
          </a:r>
          <a:endParaRPr sz="1400"/>
        </a:p>
      </xdr:txBody>
    </xdr:sp>
    <xdr:clientData fLocksWithSheet="0"/>
  </xdr:oneCellAnchor>
  <xdr:oneCellAnchor>
    <xdr:from>
      <xdr:col>4</xdr:col>
      <xdr:colOff>581025</xdr:colOff>
      <xdr:row>21</xdr:row>
      <xdr:rowOff>38100</xdr:rowOff>
    </xdr:from>
    <xdr:ext cx="1504950" cy="49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03050" y="3546638"/>
          <a:ext cx="1485900" cy="466725"/>
        </a:xfrm>
        <a:prstGeom prst="wedgeRectCallout">
          <a:avLst>
            <a:gd name="adj1" fmla="val 49761"/>
            <a:gd name="adj2" fmla="val -115660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宅急便代は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通信費で計上</a:t>
          </a:r>
          <a:endParaRPr sz="1400"/>
        </a:p>
      </xdr:txBody>
    </xdr:sp>
    <xdr:clientData fLocksWithSheet="0"/>
  </xdr:oneCellAnchor>
  <xdr:oneCellAnchor>
    <xdr:from>
      <xdr:col>10</xdr:col>
      <xdr:colOff>838200</xdr:colOff>
      <xdr:row>22</xdr:row>
      <xdr:rowOff>0</xdr:rowOff>
    </xdr:from>
    <xdr:ext cx="2333625" cy="485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wedgeRectCallout">
          <a:avLst>
            <a:gd name="adj1" fmla="val -69312"/>
            <a:gd name="adj2" fmla="val -153175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どの案件で使用しなのか記載する。（共通費は記入がなくてもいい）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22</xdr:row>
      <xdr:rowOff>0</xdr:rowOff>
    </xdr:from>
    <xdr:ext cx="1762125" cy="485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74463" y="3551400"/>
          <a:ext cx="1743075" cy="457200"/>
        </a:xfrm>
        <a:prstGeom prst="wedgeRectCallout">
          <a:avLst>
            <a:gd name="adj1" fmla="val -22172"/>
            <a:gd name="adj2" fmla="val -220053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宿泊した日にちを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1日ごと行を分けて記載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R1000"/>
  <sheetViews>
    <sheetView showGridLines="0" workbookViewId="0"/>
  </sheetViews>
  <sheetFormatPr defaultColWidth="14.42578125" defaultRowHeight="15" customHeight="1"/>
  <cols>
    <col min="1" max="1" width="2.7109375" customWidth="1"/>
    <col min="2" max="2" width="3.42578125" customWidth="1"/>
    <col min="3" max="3" width="3.7109375" customWidth="1"/>
    <col min="4" max="10" width="8.7109375" customWidth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2:18" ht="12.75" customHeight="1">
      <c r="L2" s="1"/>
      <c r="P2" s="1"/>
      <c r="Q2" s="1"/>
    </row>
    <row r="3" spans="2:18" ht="18" customHeight="1">
      <c r="L3" s="52">
        <v>42825</v>
      </c>
      <c r="M3" s="51"/>
      <c r="N3" s="51"/>
      <c r="O3" s="51"/>
      <c r="P3" s="51"/>
      <c r="Q3" s="1"/>
      <c r="R3" s="2"/>
    </row>
    <row r="4" spans="2:18" ht="12.75" customHeight="1">
      <c r="L4" s="1"/>
      <c r="M4" s="3"/>
      <c r="N4" s="53" t="s">
        <v>1</v>
      </c>
      <c r="O4" s="54"/>
      <c r="P4" s="55"/>
      <c r="Q4" s="51"/>
    </row>
    <row r="5" spans="2:18" ht="12.75" customHeight="1">
      <c r="L5" s="1"/>
      <c r="M5" s="56"/>
      <c r="N5" s="58"/>
      <c r="O5" s="5"/>
      <c r="P5" s="55"/>
      <c r="Q5" s="51"/>
    </row>
    <row r="6" spans="2:18" ht="12.75" customHeight="1">
      <c r="L6" s="1"/>
      <c r="M6" s="57"/>
      <c r="N6" s="59"/>
      <c r="O6" s="4"/>
      <c r="P6" s="59"/>
      <c r="Q6" s="51"/>
    </row>
    <row r="7" spans="2:18" ht="12.75" customHeight="1">
      <c r="L7" s="1"/>
      <c r="M7" s="57"/>
      <c r="N7" s="60"/>
      <c r="O7" s="6"/>
      <c r="P7" s="59"/>
      <c r="Q7" s="51"/>
    </row>
    <row r="8" spans="2:18" ht="21" customHeight="1">
      <c r="B8" s="67" t="s">
        <v>2</v>
      </c>
      <c r="C8" s="68"/>
      <c r="D8" s="68"/>
      <c r="E8" s="69">
        <f>L56+SUM(L57)</f>
        <v>17968</v>
      </c>
      <c r="F8" s="68"/>
      <c r="G8" s="68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70" t="s">
        <v>3</v>
      </c>
      <c r="N10" s="68"/>
      <c r="O10" s="68"/>
      <c r="P10" s="68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63" t="s">
        <v>5</v>
      </c>
      <c r="C12" s="64"/>
      <c r="D12" s="61" t="s">
        <v>6</v>
      </c>
      <c r="E12" s="61" t="s">
        <v>7</v>
      </c>
      <c r="F12" s="61" t="s">
        <v>8</v>
      </c>
      <c r="G12" s="61" t="s">
        <v>9</v>
      </c>
      <c r="H12" s="61" t="s">
        <v>10</v>
      </c>
      <c r="I12" s="61" t="s">
        <v>11</v>
      </c>
      <c r="J12" s="61" t="s">
        <v>12</v>
      </c>
      <c r="K12" s="79" t="s">
        <v>13</v>
      </c>
      <c r="L12" s="81" t="s">
        <v>14</v>
      </c>
      <c r="M12" s="82"/>
      <c r="N12" s="83"/>
      <c r="O12" s="71" t="s">
        <v>15</v>
      </c>
      <c r="P12" s="72"/>
      <c r="Q12" s="73"/>
    </row>
    <row r="13" spans="2:18" ht="18" customHeight="1">
      <c r="B13" s="65"/>
      <c r="C13" s="66"/>
      <c r="D13" s="62"/>
      <c r="E13" s="62"/>
      <c r="F13" s="62"/>
      <c r="G13" s="62"/>
      <c r="H13" s="62"/>
      <c r="I13" s="62"/>
      <c r="J13" s="62"/>
      <c r="K13" s="80"/>
      <c r="L13" s="84" t="s">
        <v>16</v>
      </c>
      <c r="M13" s="85"/>
      <c r="N13" s="86"/>
      <c r="O13" s="9" t="s">
        <v>17</v>
      </c>
      <c r="P13" s="74" t="s">
        <v>18</v>
      </c>
      <c r="Q13" s="75"/>
    </row>
    <row r="14" spans="2:18" ht="20.25" customHeight="1">
      <c r="B14" s="10" t="s">
        <v>19</v>
      </c>
      <c r="C14" s="11" t="s">
        <v>19</v>
      </c>
      <c r="D14" s="12">
        <v>768</v>
      </c>
      <c r="E14" s="12"/>
      <c r="F14" s="12"/>
      <c r="G14" s="12"/>
      <c r="H14" s="13"/>
      <c r="I14" s="13"/>
      <c r="J14" s="13"/>
      <c r="K14" s="14" t="s">
        <v>20</v>
      </c>
      <c r="L14" s="87" t="s">
        <v>21</v>
      </c>
      <c r="M14" s="88"/>
      <c r="N14" s="89"/>
      <c r="O14" s="15"/>
      <c r="P14" s="90"/>
      <c r="Q14" s="91"/>
    </row>
    <row r="15" spans="2:18" ht="20.25" customHeight="1">
      <c r="B15" s="10" t="s">
        <v>19</v>
      </c>
      <c r="C15" s="11" t="s">
        <v>19</v>
      </c>
      <c r="D15" s="16">
        <v>1200</v>
      </c>
      <c r="E15" s="16"/>
      <c r="F15" s="16"/>
      <c r="G15" s="16"/>
      <c r="H15" s="17"/>
      <c r="I15" s="17"/>
      <c r="J15" s="17"/>
      <c r="K15" s="18" t="s">
        <v>22</v>
      </c>
      <c r="L15" s="92" t="s">
        <v>23</v>
      </c>
      <c r="M15" s="93"/>
      <c r="N15" s="94"/>
      <c r="O15" s="19" t="s">
        <v>24</v>
      </c>
      <c r="P15" s="77">
        <v>1</v>
      </c>
      <c r="Q15" s="78"/>
    </row>
    <row r="16" spans="2:18" ht="20.25" customHeight="1">
      <c r="B16" s="10" t="s">
        <v>19</v>
      </c>
      <c r="C16" s="11" t="s">
        <v>19</v>
      </c>
      <c r="D16" s="16"/>
      <c r="E16" s="16"/>
      <c r="F16" s="16"/>
      <c r="G16" s="16">
        <v>5000</v>
      </c>
      <c r="H16" s="17"/>
      <c r="I16" s="17"/>
      <c r="J16" s="17"/>
      <c r="K16" s="18" t="s">
        <v>25</v>
      </c>
      <c r="L16" s="92" t="s">
        <v>26</v>
      </c>
      <c r="M16" s="93"/>
      <c r="N16" s="94"/>
      <c r="O16" s="19" t="s">
        <v>24</v>
      </c>
      <c r="P16" s="77">
        <v>2</v>
      </c>
      <c r="Q16" s="78"/>
    </row>
    <row r="17" spans="2:17" ht="20.25" customHeight="1">
      <c r="B17" s="10" t="s">
        <v>19</v>
      </c>
      <c r="C17" s="11" t="s">
        <v>19</v>
      </c>
      <c r="D17" s="16">
        <v>800</v>
      </c>
      <c r="E17" s="16"/>
      <c r="F17" s="16"/>
      <c r="G17" s="16"/>
      <c r="H17" s="17"/>
      <c r="I17" s="17"/>
      <c r="J17" s="17"/>
      <c r="K17" s="18" t="s">
        <v>27</v>
      </c>
      <c r="L17" s="95" t="s">
        <v>28</v>
      </c>
      <c r="M17" s="93"/>
      <c r="N17" s="94"/>
      <c r="O17" s="19" t="s">
        <v>24</v>
      </c>
      <c r="P17" s="77">
        <v>3</v>
      </c>
      <c r="Q17" s="78"/>
    </row>
    <row r="18" spans="2:17" ht="20.25" customHeight="1">
      <c r="B18" s="10" t="s">
        <v>19</v>
      </c>
      <c r="C18" s="11" t="s">
        <v>19</v>
      </c>
      <c r="D18" s="16">
        <v>8000</v>
      </c>
      <c r="E18" s="16"/>
      <c r="F18" s="16"/>
      <c r="G18" s="16"/>
      <c r="H18" s="17"/>
      <c r="I18" s="17"/>
      <c r="J18" s="17"/>
      <c r="K18" s="18" t="s">
        <v>22</v>
      </c>
      <c r="L18" s="92" t="s">
        <v>29</v>
      </c>
      <c r="M18" s="93"/>
      <c r="N18" s="94"/>
      <c r="O18" s="19" t="s">
        <v>24</v>
      </c>
      <c r="P18" s="77">
        <v>4</v>
      </c>
      <c r="Q18" s="78"/>
    </row>
    <row r="19" spans="2:17" ht="20.25" customHeight="1">
      <c r="B19" s="10" t="s">
        <v>19</v>
      </c>
      <c r="C19" s="11" t="s">
        <v>19</v>
      </c>
      <c r="D19" s="16"/>
      <c r="E19" s="16"/>
      <c r="F19" s="16"/>
      <c r="G19" s="16"/>
      <c r="H19" s="17"/>
      <c r="I19" s="17">
        <v>1000</v>
      </c>
      <c r="J19" s="17"/>
      <c r="K19" s="18" t="s">
        <v>22</v>
      </c>
      <c r="L19" s="92" t="s">
        <v>30</v>
      </c>
      <c r="M19" s="93"/>
      <c r="N19" s="94"/>
      <c r="O19" s="19"/>
      <c r="P19" s="77"/>
      <c r="Q19" s="78"/>
    </row>
    <row r="20" spans="2:17" ht="20.25" customHeight="1">
      <c r="B20" s="10" t="s">
        <v>19</v>
      </c>
      <c r="C20" s="11" t="s">
        <v>19</v>
      </c>
      <c r="D20" s="16"/>
      <c r="E20" s="16"/>
      <c r="F20" s="16"/>
      <c r="G20" s="16"/>
      <c r="H20" s="17">
        <v>1200</v>
      </c>
      <c r="I20" s="17"/>
      <c r="J20" s="17"/>
      <c r="K20" s="18" t="s">
        <v>25</v>
      </c>
      <c r="L20" s="92" t="s">
        <v>31</v>
      </c>
      <c r="M20" s="93"/>
      <c r="N20" s="94"/>
      <c r="O20" s="19" t="s">
        <v>24</v>
      </c>
      <c r="P20" s="77">
        <v>5</v>
      </c>
      <c r="Q20" s="78"/>
    </row>
    <row r="21" spans="2:17" ht="20.25" customHeight="1">
      <c r="B21" s="10"/>
      <c r="C21" s="11"/>
      <c r="D21" s="16"/>
      <c r="E21" s="16"/>
      <c r="F21" s="16"/>
      <c r="G21" s="16"/>
      <c r="H21" s="17"/>
      <c r="I21" s="17"/>
      <c r="J21" s="17"/>
      <c r="K21" s="18"/>
      <c r="L21" s="92"/>
      <c r="M21" s="93"/>
      <c r="N21" s="94"/>
      <c r="O21" s="19"/>
      <c r="P21" s="77"/>
      <c r="Q21" s="78"/>
    </row>
    <row r="22" spans="2:17" ht="20.25" customHeight="1">
      <c r="B22" s="10"/>
      <c r="C22" s="11"/>
      <c r="D22" s="16"/>
      <c r="E22" s="16"/>
      <c r="F22" s="16"/>
      <c r="G22" s="16"/>
      <c r="H22" s="17"/>
      <c r="I22" s="17"/>
      <c r="J22" s="17"/>
      <c r="K22" s="18"/>
      <c r="L22" s="92"/>
      <c r="M22" s="93"/>
      <c r="N22" s="94"/>
      <c r="O22" s="19"/>
      <c r="P22" s="77"/>
      <c r="Q22" s="78"/>
    </row>
    <row r="23" spans="2:17" ht="20.25" customHeight="1">
      <c r="B23" s="10"/>
      <c r="C23" s="11"/>
      <c r="D23" s="16"/>
      <c r="E23" s="16"/>
      <c r="F23" s="16"/>
      <c r="G23" s="16"/>
      <c r="H23" s="17"/>
      <c r="I23" s="17"/>
      <c r="J23" s="17"/>
      <c r="K23" s="18"/>
      <c r="L23" s="92"/>
      <c r="M23" s="93"/>
      <c r="N23" s="94"/>
      <c r="O23" s="19"/>
      <c r="P23" s="77"/>
      <c r="Q23" s="78"/>
    </row>
    <row r="24" spans="2:17" ht="20.25" customHeight="1">
      <c r="B24" s="20"/>
      <c r="C24" s="21"/>
      <c r="D24" s="22"/>
      <c r="E24" s="22"/>
      <c r="F24" s="22"/>
      <c r="G24" s="22"/>
      <c r="H24" s="23"/>
      <c r="I24" s="23"/>
      <c r="J24" s="23"/>
      <c r="K24" s="24"/>
      <c r="L24" s="99"/>
      <c r="M24" s="100"/>
      <c r="N24" s="101"/>
      <c r="O24" s="25"/>
      <c r="P24" s="104"/>
      <c r="Q24" s="105"/>
    </row>
    <row r="25" spans="2:17" ht="20.25" customHeight="1">
      <c r="B25" s="26"/>
      <c r="C25" s="26"/>
      <c r="D25" s="27"/>
      <c r="E25" s="27"/>
      <c r="F25" s="27"/>
      <c r="G25" s="27"/>
      <c r="H25" s="27"/>
      <c r="I25" s="27"/>
      <c r="J25" s="27"/>
      <c r="K25" s="28"/>
      <c r="L25" s="102"/>
      <c r="M25" s="51"/>
      <c r="N25" s="51"/>
      <c r="O25" s="29"/>
      <c r="P25" s="106"/>
      <c r="Q25" s="51"/>
    </row>
    <row r="26" spans="2:17" ht="20.25" customHeight="1">
      <c r="B26" s="26"/>
      <c r="C26" s="26"/>
      <c r="D26" s="27"/>
      <c r="E26" s="27"/>
      <c r="F26" s="27"/>
      <c r="G26" s="27"/>
      <c r="H26" s="27"/>
      <c r="I26" s="27"/>
      <c r="J26" s="27"/>
      <c r="K26" s="28"/>
      <c r="L26" s="103"/>
      <c r="M26" s="51"/>
      <c r="N26" s="51"/>
      <c r="O26" s="29"/>
      <c r="P26" s="106"/>
      <c r="Q26" s="51"/>
    </row>
    <row r="27" spans="2:17" ht="20.25" customHeight="1">
      <c r="B27" s="26"/>
      <c r="C27" s="26"/>
      <c r="D27" s="28"/>
      <c r="E27" s="28"/>
      <c r="F27" s="28"/>
      <c r="G27" s="28"/>
      <c r="H27" s="28"/>
      <c r="I27" s="28"/>
      <c r="J27" s="28"/>
      <c r="K27" s="28"/>
      <c r="L27" s="103"/>
      <c r="M27" s="51"/>
      <c r="N27" s="51"/>
      <c r="O27" s="29"/>
      <c r="P27" s="106"/>
      <c r="Q27" s="51"/>
    </row>
    <row r="28" spans="2:17" ht="20.25" customHeight="1">
      <c r="B28" s="30"/>
      <c r="C28" s="30"/>
      <c r="D28" s="31"/>
      <c r="E28" s="31"/>
      <c r="F28" s="31"/>
      <c r="G28" s="31"/>
      <c r="H28" s="31"/>
      <c r="I28" s="31"/>
      <c r="J28" s="31"/>
      <c r="K28" s="31"/>
      <c r="L28" s="107"/>
      <c r="M28" s="51"/>
      <c r="N28" s="51"/>
      <c r="O28" s="32"/>
      <c r="P28" s="76"/>
      <c r="Q28" s="51"/>
    </row>
    <row r="29" spans="2:17" ht="20.25" customHeight="1"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107"/>
      <c r="M29" s="51"/>
      <c r="N29" s="51"/>
      <c r="O29" s="32"/>
      <c r="P29" s="76"/>
      <c r="Q29" s="51"/>
    </row>
    <row r="30" spans="2:17" ht="20.25" customHeight="1">
      <c r="B30" s="30"/>
      <c r="C30" s="30"/>
      <c r="D30" s="31"/>
      <c r="E30" s="31"/>
      <c r="F30" s="31"/>
      <c r="G30" s="31"/>
      <c r="H30" s="31"/>
      <c r="I30" s="31"/>
      <c r="J30" s="31"/>
      <c r="K30" s="31"/>
      <c r="L30" s="107"/>
      <c r="M30" s="51"/>
      <c r="N30" s="51"/>
      <c r="O30" s="32"/>
      <c r="P30" s="76"/>
      <c r="Q30" s="51"/>
    </row>
    <row r="31" spans="2:17" ht="20.25" customHeight="1">
      <c r="B31" s="30"/>
      <c r="C31" s="30"/>
      <c r="D31" s="31"/>
      <c r="E31" s="31"/>
      <c r="F31" s="31"/>
      <c r="G31" s="31"/>
      <c r="H31" s="31"/>
      <c r="I31" s="31"/>
      <c r="J31" s="31"/>
      <c r="K31" s="31"/>
      <c r="L31" s="107"/>
      <c r="M31" s="51"/>
      <c r="N31" s="51"/>
      <c r="O31" s="32"/>
      <c r="P31" s="76"/>
      <c r="Q31" s="51"/>
    </row>
    <row r="32" spans="2:17" ht="20.25" customHeight="1">
      <c r="B32" s="30"/>
      <c r="C32" s="30"/>
      <c r="D32" s="31"/>
      <c r="E32" s="31"/>
      <c r="F32" s="31"/>
      <c r="G32" s="31"/>
      <c r="H32" s="31"/>
      <c r="I32" s="31"/>
      <c r="J32" s="31"/>
      <c r="K32" s="31"/>
      <c r="L32" s="107"/>
      <c r="M32" s="51"/>
      <c r="N32" s="51"/>
      <c r="O32" s="32"/>
      <c r="P32" s="76"/>
      <c r="Q32" s="51"/>
    </row>
    <row r="33" spans="2:17" ht="20.25" customHeight="1"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107"/>
      <c r="M33" s="51"/>
      <c r="N33" s="51"/>
      <c r="O33" s="32"/>
      <c r="P33" s="76"/>
      <c r="Q33" s="51"/>
    </row>
    <row r="34" spans="2:17" ht="20.25" customHeight="1"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107"/>
      <c r="M34" s="51"/>
      <c r="N34" s="51"/>
      <c r="O34" s="32"/>
      <c r="P34" s="76"/>
      <c r="Q34" s="51"/>
    </row>
    <row r="35" spans="2:17" ht="20.25" customHeight="1">
      <c r="B35" s="30"/>
      <c r="C35" s="30"/>
      <c r="D35" s="31"/>
      <c r="E35" s="31"/>
      <c r="F35" s="31"/>
      <c r="G35" s="31"/>
      <c r="H35" s="31"/>
      <c r="I35" s="31"/>
      <c r="J35" s="31"/>
      <c r="K35" s="31"/>
      <c r="L35" s="107"/>
      <c r="M35" s="51"/>
      <c r="N35" s="51"/>
      <c r="O35" s="32"/>
      <c r="P35" s="76"/>
      <c r="Q35" s="51"/>
    </row>
    <row r="36" spans="2:17" ht="20.25" customHeight="1"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107"/>
      <c r="M36" s="51"/>
      <c r="N36" s="51"/>
      <c r="O36" s="32"/>
      <c r="P36" s="76"/>
      <c r="Q36" s="51"/>
    </row>
    <row r="37" spans="2:17" ht="20.25" customHeight="1">
      <c r="B37" s="30"/>
      <c r="C37" s="30"/>
      <c r="D37" s="31"/>
      <c r="E37" s="31"/>
      <c r="F37" s="31"/>
      <c r="G37" s="31"/>
      <c r="H37" s="31"/>
      <c r="I37" s="31"/>
      <c r="J37" s="31"/>
      <c r="K37" s="31"/>
      <c r="L37" s="107"/>
      <c r="M37" s="51"/>
      <c r="N37" s="51"/>
      <c r="O37" s="32"/>
      <c r="P37" s="76"/>
      <c r="Q37" s="51"/>
    </row>
    <row r="38" spans="2:17" ht="20.25" customHeight="1">
      <c r="B38" s="30"/>
      <c r="C38" s="30"/>
      <c r="D38" s="31"/>
      <c r="E38" s="31"/>
      <c r="F38" s="31"/>
      <c r="G38" s="31"/>
      <c r="H38" s="31"/>
      <c r="I38" s="31"/>
      <c r="J38" s="31"/>
      <c r="K38" s="31"/>
      <c r="L38" s="107"/>
      <c r="M38" s="51"/>
      <c r="N38" s="51"/>
      <c r="O38" s="32"/>
      <c r="P38" s="76"/>
      <c r="Q38" s="51"/>
    </row>
    <row r="39" spans="2:17" ht="20.25" customHeight="1">
      <c r="B39" s="30"/>
      <c r="C39" s="30"/>
      <c r="D39" s="31"/>
      <c r="E39" s="31"/>
      <c r="F39" s="31"/>
      <c r="G39" s="31"/>
      <c r="H39" s="31"/>
      <c r="I39" s="31"/>
      <c r="J39" s="31"/>
      <c r="K39" s="31"/>
      <c r="L39" s="107"/>
      <c r="M39" s="51"/>
      <c r="N39" s="51"/>
      <c r="O39" s="32"/>
      <c r="P39" s="76"/>
      <c r="Q39" s="51"/>
    </row>
    <row r="40" spans="2:17" ht="20.25" customHeight="1">
      <c r="B40" s="30"/>
      <c r="C40" s="30"/>
      <c r="D40" s="31"/>
      <c r="E40" s="31"/>
      <c r="F40" s="31"/>
      <c r="G40" s="31"/>
      <c r="H40" s="31"/>
      <c r="I40" s="31"/>
      <c r="J40" s="31"/>
      <c r="K40" s="31"/>
      <c r="L40" s="107"/>
      <c r="M40" s="51"/>
      <c r="N40" s="51"/>
      <c r="O40" s="32"/>
      <c r="P40" s="76"/>
      <c r="Q40" s="51"/>
    </row>
    <row r="41" spans="2:17" ht="20.25" customHeight="1">
      <c r="B41" s="30"/>
      <c r="C41" s="30"/>
      <c r="D41" s="31"/>
      <c r="E41" s="31"/>
      <c r="F41" s="31"/>
      <c r="G41" s="31"/>
      <c r="H41" s="31"/>
      <c r="I41" s="31"/>
      <c r="J41" s="31"/>
      <c r="K41" s="31"/>
      <c r="L41" s="107"/>
      <c r="M41" s="51"/>
      <c r="N41" s="51"/>
      <c r="O41" s="32"/>
      <c r="P41" s="76"/>
      <c r="Q41" s="51"/>
    </row>
    <row r="42" spans="2:17" ht="20.25" customHeight="1">
      <c r="B42" s="30"/>
      <c r="C42" s="30"/>
      <c r="D42" s="31"/>
      <c r="E42" s="31"/>
      <c r="F42" s="31"/>
      <c r="G42" s="31"/>
      <c r="H42" s="31"/>
      <c r="I42" s="31"/>
      <c r="J42" s="31"/>
      <c r="K42" s="31"/>
      <c r="L42" s="107"/>
      <c r="M42" s="51"/>
      <c r="N42" s="51"/>
      <c r="O42" s="32"/>
      <c r="P42" s="76"/>
      <c r="Q42" s="51"/>
    </row>
    <row r="43" spans="2:17" ht="20.25" customHeight="1">
      <c r="D43" s="31"/>
      <c r="E43" s="31"/>
      <c r="F43" s="31"/>
      <c r="G43" s="31"/>
      <c r="H43" s="31"/>
      <c r="I43" s="31"/>
      <c r="J43" s="31"/>
      <c r="K43" s="31"/>
      <c r="L43" s="76"/>
      <c r="M43" s="51"/>
      <c r="N43" s="51"/>
      <c r="O43" s="33"/>
      <c r="P43" s="76"/>
      <c r="Q43" s="51"/>
    </row>
    <row r="44" spans="2:17" ht="20.25" customHeight="1">
      <c r="D44" s="31"/>
      <c r="E44" s="31"/>
      <c r="F44" s="31"/>
      <c r="G44" s="31"/>
      <c r="H44" s="31"/>
      <c r="I44" s="31"/>
      <c r="J44" s="31"/>
      <c r="K44" s="31"/>
      <c r="L44" s="76"/>
      <c r="M44" s="51"/>
      <c r="N44" s="51"/>
      <c r="O44" s="33"/>
      <c r="P44" s="76"/>
      <c r="Q44" s="51"/>
    </row>
    <row r="45" spans="2:17" ht="20.25" customHeight="1">
      <c r="D45" s="31"/>
      <c r="E45" s="31"/>
      <c r="F45" s="31"/>
      <c r="G45" s="31"/>
      <c r="H45" s="31"/>
      <c r="I45" s="31"/>
      <c r="J45" s="31"/>
      <c r="K45" s="31"/>
      <c r="L45" s="76"/>
      <c r="M45" s="51"/>
      <c r="N45" s="51"/>
      <c r="O45" s="33"/>
      <c r="P45" s="76"/>
      <c r="Q45" s="51"/>
    </row>
    <row r="46" spans="2:17" ht="20.25" customHeight="1">
      <c r="D46" s="31"/>
      <c r="E46" s="31"/>
      <c r="F46" s="31"/>
      <c r="G46" s="31"/>
      <c r="H46" s="31"/>
      <c r="I46" s="31"/>
      <c r="J46" s="31"/>
      <c r="K46" s="31"/>
      <c r="L46" s="76"/>
      <c r="M46" s="51"/>
      <c r="N46" s="51"/>
      <c r="O46" s="33"/>
      <c r="P46" s="76"/>
      <c r="Q46" s="51"/>
    </row>
    <row r="47" spans="2:17" ht="20.25" customHeight="1">
      <c r="D47" s="31"/>
      <c r="E47" s="31"/>
      <c r="F47" s="31"/>
      <c r="G47" s="31"/>
      <c r="H47" s="31"/>
      <c r="I47" s="31"/>
      <c r="J47" s="31"/>
      <c r="K47" s="31"/>
      <c r="L47" s="76"/>
      <c r="M47" s="51"/>
      <c r="N47" s="51"/>
      <c r="O47" s="33"/>
      <c r="P47" s="76"/>
      <c r="Q47" s="51"/>
    </row>
    <row r="48" spans="2:17" ht="20.25" customHeight="1">
      <c r="D48" s="31"/>
      <c r="E48" s="31"/>
      <c r="F48" s="31"/>
      <c r="G48" s="31"/>
      <c r="H48" s="31"/>
      <c r="I48" s="31"/>
      <c r="J48" s="31"/>
      <c r="K48" s="31"/>
      <c r="L48" s="76"/>
      <c r="M48" s="51"/>
      <c r="N48" s="51"/>
      <c r="O48" s="33"/>
      <c r="P48" s="76"/>
      <c r="Q48" s="51"/>
    </row>
    <row r="49" spans="2:17" ht="20.25" customHeight="1">
      <c r="D49" s="31"/>
      <c r="E49" s="31"/>
      <c r="F49" s="31"/>
      <c r="G49" s="31"/>
      <c r="H49" s="31"/>
      <c r="I49" s="31"/>
      <c r="J49" s="31"/>
      <c r="K49" s="31"/>
      <c r="L49" s="76"/>
      <c r="M49" s="51"/>
      <c r="N49" s="51"/>
      <c r="O49" s="33"/>
      <c r="P49" s="76"/>
      <c r="Q49" s="51"/>
    </row>
    <row r="50" spans="2:17" ht="20.25" customHeight="1">
      <c r="D50" s="31"/>
      <c r="E50" s="31"/>
      <c r="F50" s="31"/>
      <c r="G50" s="31"/>
      <c r="H50" s="31"/>
      <c r="I50" s="31"/>
      <c r="J50" s="31"/>
      <c r="K50" s="31"/>
      <c r="L50" s="76"/>
      <c r="M50" s="51"/>
      <c r="N50" s="51"/>
      <c r="O50" s="33"/>
      <c r="P50" s="76"/>
      <c r="Q50" s="51"/>
    </row>
    <row r="51" spans="2:17" ht="20.25" customHeight="1">
      <c r="D51" s="31"/>
      <c r="E51" s="31"/>
      <c r="F51" s="31"/>
      <c r="G51" s="31"/>
      <c r="H51" s="31"/>
      <c r="I51" s="31"/>
      <c r="J51" s="31"/>
      <c r="K51" s="31"/>
      <c r="L51" s="76"/>
      <c r="M51" s="51"/>
      <c r="N51" s="51"/>
      <c r="O51" s="33"/>
      <c r="P51" s="76"/>
      <c r="Q51" s="51"/>
    </row>
    <row r="52" spans="2:17" ht="20.25" customHeight="1">
      <c r="D52" s="31"/>
      <c r="E52" s="31"/>
      <c r="F52" s="31"/>
      <c r="G52" s="31"/>
      <c r="H52" s="31"/>
      <c r="I52" s="31"/>
      <c r="J52" s="31"/>
      <c r="K52" s="31"/>
      <c r="L52" s="76"/>
      <c r="M52" s="51"/>
      <c r="N52" s="51"/>
      <c r="O52" s="33"/>
      <c r="P52" s="76"/>
      <c r="Q52" s="51"/>
    </row>
    <row r="53" spans="2:17" ht="20.25" customHeight="1">
      <c r="D53" s="31"/>
      <c r="E53" s="31"/>
      <c r="F53" s="31"/>
      <c r="G53" s="31"/>
      <c r="H53" s="31"/>
      <c r="I53" s="31"/>
      <c r="J53" s="31"/>
      <c r="K53" s="31"/>
      <c r="L53" s="76"/>
      <c r="M53" s="51"/>
      <c r="N53" s="51"/>
      <c r="O53" s="33"/>
      <c r="P53" s="76"/>
      <c r="Q53" s="51"/>
    </row>
    <row r="54" spans="2:17" ht="20.25" customHeight="1">
      <c r="D54" s="31"/>
      <c r="E54" s="31"/>
      <c r="F54" s="31"/>
      <c r="G54" s="31"/>
      <c r="H54" s="31"/>
      <c r="I54" s="31"/>
      <c r="J54" s="31"/>
      <c r="K54" s="31"/>
      <c r="L54" s="76"/>
      <c r="M54" s="51"/>
      <c r="N54" s="51"/>
      <c r="O54" s="33"/>
      <c r="P54" s="76"/>
      <c r="Q54" s="51"/>
    </row>
    <row r="55" spans="2:17" ht="20.25" customHeight="1">
      <c r="D55" s="31"/>
      <c r="E55" s="31"/>
      <c r="F55" s="31"/>
      <c r="G55" s="31"/>
      <c r="H55" s="31"/>
      <c r="I55" s="31"/>
      <c r="J55" s="31"/>
      <c r="K55" s="31"/>
      <c r="L55" s="76"/>
      <c r="M55" s="51"/>
      <c r="N55" s="51"/>
      <c r="O55" s="33"/>
      <c r="P55" s="76"/>
      <c r="Q55" s="51"/>
    </row>
    <row r="56" spans="2:17" ht="20.25" customHeight="1">
      <c r="B56" s="96" t="s">
        <v>32</v>
      </c>
      <c r="C56" s="51"/>
      <c r="D56" s="35">
        <f t="shared" ref="D56:J56" si="0">SUM(D14:D55)</f>
        <v>10768</v>
      </c>
      <c r="E56" s="35">
        <f t="shared" si="0"/>
        <v>0</v>
      </c>
      <c r="F56" s="35">
        <f t="shared" si="0"/>
        <v>0</v>
      </c>
      <c r="G56" s="35">
        <f t="shared" si="0"/>
        <v>5000</v>
      </c>
      <c r="H56" s="35">
        <f t="shared" si="0"/>
        <v>1200</v>
      </c>
      <c r="I56" s="35">
        <f t="shared" si="0"/>
        <v>1000</v>
      </c>
      <c r="J56" s="35">
        <f t="shared" si="0"/>
        <v>0</v>
      </c>
      <c r="K56" s="35"/>
      <c r="L56" s="97"/>
      <c r="M56" s="51"/>
      <c r="N56" s="51"/>
      <c r="O56" s="51"/>
      <c r="P56" s="51"/>
      <c r="Q56" s="51"/>
    </row>
    <row r="57" spans="2:17" ht="20.25" customHeight="1">
      <c r="B57" s="96" t="s">
        <v>33</v>
      </c>
      <c r="C57" s="51"/>
      <c r="D57" s="51"/>
      <c r="E57" s="51"/>
      <c r="F57" s="51"/>
      <c r="G57" s="51"/>
      <c r="H57" s="51"/>
      <c r="I57" s="51"/>
      <c r="J57" s="51"/>
      <c r="K57" s="34"/>
      <c r="L57" s="98">
        <f>SUM(D56:J56)</f>
        <v>17968</v>
      </c>
      <c r="M57" s="51"/>
      <c r="N57" s="51"/>
      <c r="O57" s="51"/>
      <c r="P57" s="51"/>
      <c r="Q57" s="51"/>
    </row>
    <row r="58" spans="2:17" ht="12.75" customHeight="1">
      <c r="L58" s="1"/>
      <c r="P58" s="1"/>
      <c r="Q58" s="1"/>
    </row>
    <row r="59" spans="2:17" ht="12.75" customHeight="1">
      <c r="L59" s="1"/>
      <c r="P59" s="1"/>
      <c r="Q59" s="1"/>
    </row>
    <row r="60" spans="2:17" ht="12.75" customHeight="1">
      <c r="L60" s="1"/>
      <c r="P60" s="1"/>
      <c r="Q60" s="1"/>
    </row>
    <row r="61" spans="2:17" ht="12.75" customHeight="1">
      <c r="L61" s="1"/>
      <c r="P61" s="1"/>
      <c r="Q61" s="1"/>
    </row>
    <row r="62" spans="2:17" ht="12.75" customHeight="1">
      <c r="L62" s="1"/>
      <c r="P62" s="1"/>
      <c r="Q62" s="1"/>
    </row>
    <row r="63" spans="2:17" ht="12.75" customHeight="1">
      <c r="L63" s="1"/>
      <c r="P63" s="1"/>
      <c r="Q63" s="1"/>
    </row>
    <row r="64" spans="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</sheetData>
  <mergeCells count="112">
    <mergeCell ref="P34:Q34"/>
    <mergeCell ref="L34:N34"/>
    <mergeCell ref="L35:N35"/>
    <mergeCell ref="L36:N36"/>
    <mergeCell ref="L37:N37"/>
    <mergeCell ref="L38:N38"/>
    <mergeCell ref="L39:N39"/>
    <mergeCell ref="L40:N40"/>
    <mergeCell ref="P51:Q51"/>
    <mergeCell ref="L50:N50"/>
    <mergeCell ref="L51:N51"/>
    <mergeCell ref="P45:Q45"/>
    <mergeCell ref="P46:Q46"/>
    <mergeCell ref="L41:N41"/>
    <mergeCell ref="L42:N42"/>
    <mergeCell ref="L43:N43"/>
    <mergeCell ref="L44:N44"/>
    <mergeCell ref="P44:Q44"/>
    <mergeCell ref="L45:N45"/>
    <mergeCell ref="L46:N46"/>
    <mergeCell ref="P42:Q42"/>
    <mergeCell ref="P43:Q43"/>
    <mergeCell ref="P35:Q35"/>
    <mergeCell ref="P36:Q36"/>
    <mergeCell ref="P27:Q27"/>
    <mergeCell ref="L27:N27"/>
    <mergeCell ref="L28:N28"/>
    <mergeCell ref="L29:N29"/>
    <mergeCell ref="L30:N30"/>
    <mergeCell ref="L31:N31"/>
    <mergeCell ref="L32:N32"/>
    <mergeCell ref="L33:N33"/>
    <mergeCell ref="P28:Q28"/>
    <mergeCell ref="P29:Q29"/>
    <mergeCell ref="P30:Q30"/>
    <mergeCell ref="P31:Q31"/>
    <mergeCell ref="P32:Q32"/>
    <mergeCell ref="P33:Q33"/>
    <mergeCell ref="L23:N23"/>
    <mergeCell ref="L24:N24"/>
    <mergeCell ref="L25:N25"/>
    <mergeCell ref="L26:N26"/>
    <mergeCell ref="P21:Q21"/>
    <mergeCell ref="P22:Q22"/>
    <mergeCell ref="P23:Q23"/>
    <mergeCell ref="P24:Q24"/>
    <mergeCell ref="P25:Q25"/>
    <mergeCell ref="P26:Q26"/>
    <mergeCell ref="L52:N52"/>
    <mergeCell ref="B56:C56"/>
    <mergeCell ref="L56:Q56"/>
    <mergeCell ref="B57:J57"/>
    <mergeCell ref="L57:Q57"/>
    <mergeCell ref="L47:N47"/>
    <mergeCell ref="P47:Q47"/>
    <mergeCell ref="L48:N48"/>
    <mergeCell ref="P48:Q48"/>
    <mergeCell ref="L49:N49"/>
    <mergeCell ref="P49:Q49"/>
    <mergeCell ref="P50:Q50"/>
    <mergeCell ref="P52:Q52"/>
    <mergeCell ref="L53:N53"/>
    <mergeCell ref="P53:Q53"/>
    <mergeCell ref="L54:N54"/>
    <mergeCell ref="P54:Q54"/>
    <mergeCell ref="L55:N55"/>
    <mergeCell ref="P55:Q55"/>
    <mergeCell ref="P37:Q37"/>
    <mergeCell ref="P38:Q38"/>
    <mergeCell ref="P39:Q39"/>
    <mergeCell ref="P40:Q40"/>
    <mergeCell ref="P41:Q41"/>
    <mergeCell ref="P15:Q15"/>
    <mergeCell ref="P16:Q16"/>
    <mergeCell ref="K12:K13"/>
    <mergeCell ref="L12:N12"/>
    <mergeCell ref="L13:N13"/>
    <mergeCell ref="L14:N14"/>
    <mergeCell ref="P14:Q14"/>
    <mergeCell ref="L15:N15"/>
    <mergeCell ref="L16:N16"/>
    <mergeCell ref="L17:N17"/>
    <mergeCell ref="P17:Q17"/>
    <mergeCell ref="L18:N18"/>
    <mergeCell ref="P18:Q18"/>
    <mergeCell ref="L19:N19"/>
    <mergeCell ref="P19:Q19"/>
    <mergeCell ref="P20:Q20"/>
    <mergeCell ref="L20:N20"/>
    <mergeCell ref="L21:N21"/>
    <mergeCell ref="L22:N22"/>
    <mergeCell ref="B1:Q1"/>
    <mergeCell ref="L3:P3"/>
    <mergeCell ref="N4:O4"/>
    <mergeCell ref="P4:Q4"/>
    <mergeCell ref="M5:M7"/>
    <mergeCell ref="N5:N7"/>
    <mergeCell ref="P5:Q7"/>
    <mergeCell ref="G12:G13"/>
    <mergeCell ref="H12:H13"/>
    <mergeCell ref="I12:I13"/>
    <mergeCell ref="J12:J13"/>
    <mergeCell ref="B12:C12"/>
    <mergeCell ref="B13:C13"/>
    <mergeCell ref="B8:D8"/>
    <mergeCell ref="E8:G8"/>
    <mergeCell ref="M10:P10"/>
    <mergeCell ref="D12:D13"/>
    <mergeCell ref="E12:E13"/>
    <mergeCell ref="F12:F13"/>
    <mergeCell ref="O12:Q12"/>
    <mergeCell ref="P13:Q13"/>
  </mergeCells>
  <phoneticPr fontId="12"/>
  <pageMargins left="0.52" right="0.15748031496062992" top="0.67" bottom="0.34" header="0" footer="0"/>
  <pageSetup paperSize="9" orientation="portrait"/>
  <colBreaks count="1" manualBreakCount="1"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3"/>
  <sheetViews>
    <sheetView showGridLines="0" tabSelected="1" zoomScale="85" zoomScaleNormal="85" workbookViewId="0"/>
  </sheetViews>
  <sheetFormatPr defaultColWidth="14.42578125" defaultRowHeight="15" customHeight="1" outlineLevelCol="1"/>
  <cols>
    <col min="1" max="1" width="2.7109375" customWidth="1"/>
    <col min="2" max="2" width="3.42578125" customWidth="1"/>
    <col min="3" max="3" width="3.7109375" customWidth="1"/>
    <col min="4" max="4" width="8.7109375" customWidth="1"/>
    <col min="5" max="10" width="8.7109375" customWidth="1" outlineLevel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2:18" ht="12.75" customHeight="1">
      <c r="L2" s="1"/>
      <c r="P2" s="1"/>
      <c r="Q2" s="1"/>
    </row>
    <row r="3" spans="2:18" ht="18" customHeight="1">
      <c r="L3" s="52">
        <v>46016</v>
      </c>
      <c r="M3" s="51"/>
      <c r="N3" s="51"/>
      <c r="O3" s="51"/>
      <c r="P3" s="51"/>
      <c r="Q3" s="1"/>
      <c r="R3" s="2"/>
    </row>
    <row r="4" spans="2:18" ht="12.75" customHeight="1">
      <c r="L4" s="1"/>
      <c r="M4" s="3"/>
      <c r="N4" s="53" t="s">
        <v>1</v>
      </c>
      <c r="O4" s="54"/>
      <c r="P4" s="55"/>
      <c r="Q4" s="51"/>
    </row>
    <row r="5" spans="2:18" ht="12.75" customHeight="1">
      <c r="L5" s="1"/>
      <c r="M5" s="56"/>
      <c r="N5" s="58"/>
      <c r="O5" s="5"/>
      <c r="P5" s="55"/>
      <c r="Q5" s="51"/>
    </row>
    <row r="6" spans="2:18" ht="12.75" customHeight="1">
      <c r="L6" s="1"/>
      <c r="M6" s="57"/>
      <c r="N6" s="59"/>
      <c r="O6" s="4"/>
      <c r="P6" s="59"/>
      <c r="Q6" s="51"/>
    </row>
    <row r="7" spans="2:18" ht="12.75" customHeight="1">
      <c r="L7" s="1"/>
      <c r="M7" s="57"/>
      <c r="N7" s="60"/>
      <c r="O7" s="6"/>
      <c r="P7" s="59"/>
      <c r="Q7" s="51"/>
    </row>
    <row r="8" spans="2:18" ht="21" customHeight="1">
      <c r="B8" s="67" t="s">
        <v>2</v>
      </c>
      <c r="C8" s="68"/>
      <c r="D8" s="68"/>
      <c r="E8" s="69">
        <f>L43</f>
        <v>16072</v>
      </c>
      <c r="F8" s="68"/>
      <c r="G8" s="68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70" t="s">
        <v>37</v>
      </c>
      <c r="N10" s="68"/>
      <c r="O10" s="68"/>
      <c r="P10" s="68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63" t="s">
        <v>5</v>
      </c>
      <c r="C12" s="64"/>
      <c r="D12" s="61" t="s">
        <v>6</v>
      </c>
      <c r="E12" s="61" t="s">
        <v>7</v>
      </c>
      <c r="F12" s="61" t="s">
        <v>8</v>
      </c>
      <c r="G12" s="61" t="s">
        <v>9</v>
      </c>
      <c r="H12" s="61" t="s">
        <v>10</v>
      </c>
      <c r="I12" s="61" t="s">
        <v>11</v>
      </c>
      <c r="J12" s="119" t="s">
        <v>12</v>
      </c>
      <c r="K12" s="79" t="s">
        <v>13</v>
      </c>
      <c r="L12" s="81" t="s">
        <v>14</v>
      </c>
      <c r="M12" s="82"/>
      <c r="N12" s="83"/>
      <c r="O12" s="71" t="s">
        <v>15</v>
      </c>
      <c r="P12" s="72"/>
      <c r="Q12" s="73"/>
    </row>
    <row r="13" spans="2:18" ht="18" customHeight="1" thickBot="1">
      <c r="B13" s="65"/>
      <c r="C13" s="66"/>
      <c r="D13" s="62"/>
      <c r="E13" s="62"/>
      <c r="F13" s="62"/>
      <c r="G13" s="62"/>
      <c r="H13" s="62"/>
      <c r="I13" s="62"/>
      <c r="J13" s="120"/>
      <c r="K13" s="80"/>
      <c r="L13" s="118"/>
      <c r="M13" s="85"/>
      <c r="N13" s="86"/>
      <c r="O13" s="9" t="s">
        <v>17</v>
      </c>
      <c r="P13" s="74" t="s">
        <v>18</v>
      </c>
      <c r="Q13" s="75"/>
    </row>
    <row r="14" spans="2:18" ht="20.25" customHeight="1" thickTop="1">
      <c r="B14" s="36">
        <v>12</v>
      </c>
      <c r="C14" s="37">
        <v>1</v>
      </c>
      <c r="D14" s="38">
        <v>776</v>
      </c>
      <c r="E14" s="48"/>
      <c r="F14" s="48"/>
      <c r="G14" s="48"/>
      <c r="H14" s="49"/>
      <c r="I14" s="49"/>
      <c r="J14" s="49"/>
      <c r="K14" s="39" t="s">
        <v>34</v>
      </c>
      <c r="L14" s="121" t="s">
        <v>36</v>
      </c>
      <c r="M14" s="122"/>
      <c r="N14" s="123"/>
      <c r="O14" s="41" t="s">
        <v>35</v>
      </c>
      <c r="P14" s="111"/>
      <c r="Q14" s="78"/>
    </row>
    <row r="15" spans="2:18" ht="20.25" customHeight="1">
      <c r="B15" s="36">
        <v>12</v>
      </c>
      <c r="C15" s="37">
        <v>2</v>
      </c>
      <c r="D15" s="38">
        <v>776</v>
      </c>
      <c r="E15" s="48"/>
      <c r="F15" s="48"/>
      <c r="G15" s="48"/>
      <c r="H15" s="49"/>
      <c r="I15" s="49"/>
      <c r="J15" s="49"/>
      <c r="K15" s="39" t="s">
        <v>34</v>
      </c>
      <c r="L15" s="108" t="s">
        <v>36</v>
      </c>
      <c r="M15" s="109"/>
      <c r="N15" s="110"/>
      <c r="O15" s="41" t="s">
        <v>35</v>
      </c>
      <c r="P15" s="111"/>
      <c r="Q15" s="78"/>
    </row>
    <row r="16" spans="2:18" ht="20.25" customHeight="1">
      <c r="B16" s="36">
        <v>12</v>
      </c>
      <c r="C16" s="37">
        <v>3</v>
      </c>
      <c r="D16" s="38">
        <v>776</v>
      </c>
      <c r="E16" s="48"/>
      <c r="F16" s="48"/>
      <c r="G16" s="48"/>
      <c r="H16" s="49"/>
      <c r="I16" s="49"/>
      <c r="J16" s="49"/>
      <c r="K16" s="39" t="s">
        <v>34</v>
      </c>
      <c r="L16" s="108" t="s">
        <v>36</v>
      </c>
      <c r="M16" s="109"/>
      <c r="N16" s="110"/>
      <c r="O16" s="41" t="s">
        <v>35</v>
      </c>
      <c r="P16" s="111"/>
      <c r="Q16" s="78"/>
    </row>
    <row r="17" spans="2:17" ht="20.25" customHeight="1">
      <c r="B17" s="36">
        <v>12</v>
      </c>
      <c r="C17" s="37">
        <v>4</v>
      </c>
      <c r="D17" s="38">
        <v>776</v>
      </c>
      <c r="E17" s="48"/>
      <c r="F17" s="48"/>
      <c r="G17" s="48"/>
      <c r="H17" s="49"/>
      <c r="I17" s="49"/>
      <c r="J17" s="48"/>
      <c r="K17" s="39" t="s">
        <v>34</v>
      </c>
      <c r="L17" s="108" t="s">
        <v>36</v>
      </c>
      <c r="M17" s="109"/>
      <c r="N17" s="110"/>
      <c r="O17" s="41" t="s">
        <v>35</v>
      </c>
      <c r="P17" s="111"/>
      <c r="Q17" s="78"/>
    </row>
    <row r="18" spans="2:17" ht="20.25" customHeight="1">
      <c r="B18" s="36">
        <v>12</v>
      </c>
      <c r="C18" s="37">
        <v>5</v>
      </c>
      <c r="D18" s="38">
        <v>776</v>
      </c>
      <c r="E18" s="48"/>
      <c r="F18" s="48"/>
      <c r="G18" s="48"/>
      <c r="H18" s="49"/>
      <c r="I18" s="49"/>
      <c r="J18" s="49"/>
      <c r="K18" s="39" t="s">
        <v>34</v>
      </c>
      <c r="L18" s="108" t="s">
        <v>36</v>
      </c>
      <c r="M18" s="109"/>
      <c r="N18" s="110"/>
      <c r="O18" s="41" t="s">
        <v>35</v>
      </c>
      <c r="P18" s="111"/>
      <c r="Q18" s="78"/>
    </row>
    <row r="19" spans="2:17" ht="20.25" customHeight="1">
      <c r="B19" s="36">
        <v>12</v>
      </c>
      <c r="C19" s="37">
        <v>8</v>
      </c>
      <c r="D19" s="38">
        <v>776</v>
      </c>
      <c r="E19" s="48"/>
      <c r="F19" s="48"/>
      <c r="G19" s="48"/>
      <c r="H19" s="49"/>
      <c r="I19" s="48"/>
      <c r="J19" s="49"/>
      <c r="K19" s="39" t="s">
        <v>34</v>
      </c>
      <c r="L19" s="108" t="s">
        <v>36</v>
      </c>
      <c r="M19" s="109"/>
      <c r="N19" s="110"/>
      <c r="O19" s="41" t="s">
        <v>35</v>
      </c>
      <c r="P19" s="111"/>
      <c r="Q19" s="78"/>
    </row>
    <row r="20" spans="2:17" ht="20.25" customHeight="1">
      <c r="B20" s="36">
        <v>12</v>
      </c>
      <c r="C20" s="37">
        <v>9</v>
      </c>
      <c r="D20" s="38">
        <v>776</v>
      </c>
      <c r="E20" s="48"/>
      <c r="F20" s="48"/>
      <c r="G20" s="48"/>
      <c r="H20" s="49"/>
      <c r="I20" s="49"/>
      <c r="J20" s="49"/>
      <c r="K20" s="39" t="s">
        <v>34</v>
      </c>
      <c r="L20" s="108" t="s">
        <v>36</v>
      </c>
      <c r="M20" s="109"/>
      <c r="N20" s="110"/>
      <c r="O20" s="41" t="s">
        <v>35</v>
      </c>
      <c r="P20" s="111"/>
      <c r="Q20" s="112"/>
    </row>
    <row r="21" spans="2:17" ht="20.25" customHeight="1">
      <c r="B21" s="36">
        <v>12</v>
      </c>
      <c r="C21" s="37">
        <v>10</v>
      </c>
      <c r="D21" s="38">
        <v>776</v>
      </c>
      <c r="E21" s="48"/>
      <c r="F21" s="48"/>
      <c r="G21" s="48"/>
      <c r="H21" s="49"/>
      <c r="I21" s="49"/>
      <c r="J21" s="49"/>
      <c r="K21" s="39" t="s">
        <v>34</v>
      </c>
      <c r="L21" s="108" t="s">
        <v>36</v>
      </c>
      <c r="M21" s="109"/>
      <c r="N21" s="110"/>
      <c r="O21" s="41" t="s">
        <v>35</v>
      </c>
      <c r="P21" s="111"/>
      <c r="Q21" s="112"/>
    </row>
    <row r="22" spans="2:17" ht="20.25" customHeight="1">
      <c r="B22" s="36">
        <v>12</v>
      </c>
      <c r="C22" s="37">
        <v>11</v>
      </c>
      <c r="D22" s="38">
        <v>776</v>
      </c>
      <c r="E22" s="48"/>
      <c r="F22" s="48"/>
      <c r="G22" s="48"/>
      <c r="H22" s="49"/>
      <c r="I22" s="49"/>
      <c r="J22" s="49"/>
      <c r="K22" s="39" t="s">
        <v>34</v>
      </c>
      <c r="L22" s="108" t="s">
        <v>36</v>
      </c>
      <c r="M22" s="109"/>
      <c r="N22" s="110"/>
      <c r="O22" s="41" t="s">
        <v>35</v>
      </c>
      <c r="P22" s="111"/>
      <c r="Q22" s="78"/>
    </row>
    <row r="23" spans="2:17" ht="20.25" customHeight="1">
      <c r="B23" s="36">
        <v>12</v>
      </c>
      <c r="C23" s="37">
        <v>12</v>
      </c>
      <c r="D23" s="38">
        <v>776</v>
      </c>
      <c r="E23" s="48"/>
      <c r="F23" s="48"/>
      <c r="G23" s="48"/>
      <c r="H23" s="49"/>
      <c r="I23" s="49"/>
      <c r="J23" s="49"/>
      <c r="K23" s="39" t="s">
        <v>34</v>
      </c>
      <c r="L23" s="108" t="s">
        <v>36</v>
      </c>
      <c r="M23" s="109"/>
      <c r="N23" s="110"/>
      <c r="O23" s="41" t="s">
        <v>35</v>
      </c>
      <c r="P23" s="111"/>
      <c r="Q23" s="78"/>
    </row>
    <row r="24" spans="2:17" ht="20.25" customHeight="1">
      <c r="B24" s="36">
        <v>12</v>
      </c>
      <c r="C24" s="37">
        <v>15</v>
      </c>
      <c r="D24" s="38">
        <v>776</v>
      </c>
      <c r="E24" s="48"/>
      <c r="F24" s="48"/>
      <c r="G24" s="48"/>
      <c r="H24" s="49"/>
      <c r="I24" s="49"/>
      <c r="J24" s="49"/>
      <c r="K24" s="39" t="s">
        <v>34</v>
      </c>
      <c r="L24" s="108" t="s">
        <v>36</v>
      </c>
      <c r="M24" s="109"/>
      <c r="N24" s="110"/>
      <c r="O24" s="41" t="s">
        <v>35</v>
      </c>
      <c r="P24" s="111"/>
      <c r="Q24" s="78"/>
    </row>
    <row r="25" spans="2:17" ht="20.25" customHeight="1">
      <c r="B25" s="36">
        <v>12</v>
      </c>
      <c r="C25" s="37">
        <v>16</v>
      </c>
      <c r="D25" s="38">
        <v>776</v>
      </c>
      <c r="E25" s="48"/>
      <c r="F25" s="48"/>
      <c r="G25" s="48"/>
      <c r="H25" s="49"/>
      <c r="I25" s="48"/>
      <c r="J25" s="49"/>
      <c r="K25" s="39" t="s">
        <v>34</v>
      </c>
      <c r="L25" s="108" t="s">
        <v>36</v>
      </c>
      <c r="M25" s="109"/>
      <c r="N25" s="110"/>
      <c r="O25" s="41" t="s">
        <v>35</v>
      </c>
      <c r="P25" s="111"/>
      <c r="Q25" s="78"/>
    </row>
    <row r="26" spans="2:17" ht="20.25" customHeight="1">
      <c r="B26" s="36">
        <v>12</v>
      </c>
      <c r="C26" s="37">
        <v>17</v>
      </c>
      <c r="D26" s="38">
        <v>776</v>
      </c>
      <c r="E26" s="48"/>
      <c r="F26" s="48"/>
      <c r="G26" s="48"/>
      <c r="H26" s="49"/>
      <c r="I26" s="49"/>
      <c r="J26" s="49"/>
      <c r="K26" s="39" t="s">
        <v>34</v>
      </c>
      <c r="L26" s="108" t="s">
        <v>36</v>
      </c>
      <c r="M26" s="109"/>
      <c r="N26" s="110"/>
      <c r="O26" s="41" t="s">
        <v>35</v>
      </c>
      <c r="P26" s="111"/>
      <c r="Q26" s="112"/>
    </row>
    <row r="27" spans="2:17" ht="20.25" customHeight="1">
      <c r="B27" s="36">
        <v>12</v>
      </c>
      <c r="C27" s="37">
        <v>18</v>
      </c>
      <c r="D27" s="38">
        <v>776</v>
      </c>
      <c r="E27" s="48"/>
      <c r="F27" s="48"/>
      <c r="G27" s="48"/>
      <c r="H27" s="49"/>
      <c r="I27" s="49"/>
      <c r="J27" s="49"/>
      <c r="K27" s="39" t="s">
        <v>34</v>
      </c>
      <c r="L27" s="108" t="s">
        <v>36</v>
      </c>
      <c r="M27" s="109"/>
      <c r="N27" s="110"/>
      <c r="O27" s="41" t="s">
        <v>35</v>
      </c>
      <c r="P27" s="111"/>
      <c r="Q27" s="112"/>
    </row>
    <row r="28" spans="2:17" ht="20.25" customHeight="1">
      <c r="B28" s="36">
        <v>12</v>
      </c>
      <c r="C28" s="37">
        <v>19</v>
      </c>
      <c r="D28" s="38">
        <v>776</v>
      </c>
      <c r="E28" s="48"/>
      <c r="F28" s="48"/>
      <c r="G28" s="48"/>
      <c r="H28" s="49"/>
      <c r="I28" s="48"/>
      <c r="J28" s="49"/>
      <c r="K28" s="39" t="s">
        <v>34</v>
      </c>
      <c r="L28" s="108" t="s">
        <v>36</v>
      </c>
      <c r="M28" s="109"/>
      <c r="N28" s="110"/>
      <c r="O28" s="41" t="s">
        <v>35</v>
      </c>
      <c r="P28" s="111"/>
      <c r="Q28" s="112"/>
    </row>
    <row r="29" spans="2:17" ht="20.25" customHeight="1">
      <c r="B29" s="36">
        <v>12</v>
      </c>
      <c r="C29" s="37">
        <v>22</v>
      </c>
      <c r="D29" s="38">
        <v>776</v>
      </c>
      <c r="E29" s="48"/>
      <c r="F29" s="48"/>
      <c r="G29" s="48"/>
      <c r="H29" s="49"/>
      <c r="I29" s="48"/>
      <c r="J29" s="49"/>
      <c r="K29" s="39" t="s">
        <v>34</v>
      </c>
      <c r="L29" s="108" t="s">
        <v>36</v>
      </c>
      <c r="M29" s="109"/>
      <c r="N29" s="110"/>
      <c r="O29" s="41" t="s">
        <v>35</v>
      </c>
      <c r="P29" s="111"/>
      <c r="Q29" s="112"/>
    </row>
    <row r="30" spans="2:17" ht="20.25" customHeight="1">
      <c r="B30" s="36">
        <v>12</v>
      </c>
      <c r="C30" s="37">
        <v>23</v>
      </c>
      <c r="D30" s="38">
        <v>776</v>
      </c>
      <c r="E30" s="48"/>
      <c r="F30" s="48"/>
      <c r="G30" s="48"/>
      <c r="H30" s="49"/>
      <c r="I30" s="48"/>
      <c r="J30" s="49"/>
      <c r="K30" s="39" t="s">
        <v>34</v>
      </c>
      <c r="L30" s="108" t="s">
        <v>36</v>
      </c>
      <c r="M30" s="109"/>
      <c r="N30" s="110"/>
      <c r="O30" s="41" t="s">
        <v>35</v>
      </c>
      <c r="P30" s="111"/>
      <c r="Q30" s="112"/>
    </row>
    <row r="31" spans="2:17" ht="20.25" customHeight="1">
      <c r="B31" s="36">
        <v>12</v>
      </c>
      <c r="C31" s="37">
        <v>24</v>
      </c>
      <c r="D31" s="38">
        <v>776</v>
      </c>
      <c r="E31" s="48"/>
      <c r="F31" s="48"/>
      <c r="G31" s="48"/>
      <c r="H31" s="49"/>
      <c r="I31" s="48"/>
      <c r="J31" s="49"/>
      <c r="K31" s="39" t="s">
        <v>34</v>
      </c>
      <c r="L31" s="108" t="s">
        <v>36</v>
      </c>
      <c r="M31" s="109"/>
      <c r="N31" s="110"/>
      <c r="O31" s="41" t="s">
        <v>35</v>
      </c>
      <c r="P31" s="111"/>
      <c r="Q31" s="112"/>
    </row>
    <row r="32" spans="2:17" ht="20.25" customHeight="1">
      <c r="B32" s="36">
        <v>12</v>
      </c>
      <c r="C32" s="37">
        <v>25</v>
      </c>
      <c r="D32" s="38">
        <v>776</v>
      </c>
      <c r="E32" s="48"/>
      <c r="F32" s="48"/>
      <c r="G32" s="48"/>
      <c r="H32" s="49"/>
      <c r="I32" s="49"/>
      <c r="J32" s="49"/>
      <c r="K32" s="39" t="s">
        <v>34</v>
      </c>
      <c r="L32" s="108" t="s">
        <v>36</v>
      </c>
      <c r="M32" s="109"/>
      <c r="N32" s="110"/>
      <c r="O32" s="41" t="s">
        <v>35</v>
      </c>
      <c r="P32" s="111"/>
      <c r="Q32" s="112"/>
    </row>
    <row r="33" spans="2:17" ht="20.25" customHeight="1">
      <c r="B33" s="36"/>
      <c r="C33" s="37"/>
      <c r="D33" s="38"/>
      <c r="E33" s="48"/>
      <c r="F33" s="48"/>
      <c r="G33" s="48"/>
      <c r="H33" s="49"/>
      <c r="I33" s="49"/>
      <c r="J33" s="49"/>
      <c r="K33" s="39"/>
      <c r="L33" s="108"/>
      <c r="M33" s="109"/>
      <c r="N33" s="110"/>
      <c r="O33" s="41"/>
      <c r="P33" s="111"/>
      <c r="Q33" s="112"/>
    </row>
    <row r="34" spans="2:17" ht="20.25" customHeight="1">
      <c r="B34" s="124">
        <v>12</v>
      </c>
      <c r="C34" s="125"/>
      <c r="D34" s="126">
        <v>388</v>
      </c>
      <c r="E34" s="127"/>
      <c r="F34" s="127"/>
      <c r="G34" s="127"/>
      <c r="H34" s="128"/>
      <c r="I34" s="128"/>
      <c r="J34" s="128"/>
      <c r="K34" s="129" t="s">
        <v>34</v>
      </c>
      <c r="L34" s="130" t="s">
        <v>38</v>
      </c>
      <c r="M34" s="131"/>
      <c r="N34" s="132"/>
      <c r="O34" s="133" t="s">
        <v>35</v>
      </c>
      <c r="P34" s="134"/>
      <c r="Q34" s="135"/>
    </row>
    <row r="35" spans="2:17" ht="20.25" customHeight="1">
      <c r="B35" s="124">
        <v>12</v>
      </c>
      <c r="C35" s="125"/>
      <c r="D35" s="126">
        <v>530</v>
      </c>
      <c r="E35" s="127"/>
      <c r="F35" s="127"/>
      <c r="G35" s="127"/>
      <c r="H35" s="128"/>
      <c r="I35" s="128"/>
      <c r="J35" s="128"/>
      <c r="K35" s="129" t="s">
        <v>34</v>
      </c>
      <c r="L35" s="130" t="s">
        <v>39</v>
      </c>
      <c r="M35" s="131"/>
      <c r="N35" s="132"/>
      <c r="O35" s="133" t="s">
        <v>35</v>
      </c>
      <c r="P35" s="134"/>
      <c r="Q35" s="135"/>
    </row>
    <row r="36" spans="2:17" ht="20.25" customHeight="1">
      <c r="B36" s="124">
        <v>12</v>
      </c>
      <c r="C36" s="125"/>
      <c r="D36" s="126">
        <v>410</v>
      </c>
      <c r="E36" s="127"/>
      <c r="F36" s="127"/>
      <c r="G36" s="127"/>
      <c r="H36" s="128"/>
      <c r="I36" s="128"/>
      <c r="J36" s="128"/>
      <c r="K36" s="129" t="s">
        <v>34</v>
      </c>
      <c r="L36" s="130" t="s">
        <v>40</v>
      </c>
      <c r="M36" s="131"/>
      <c r="N36" s="132"/>
      <c r="O36" s="133" t="s">
        <v>35</v>
      </c>
      <c r="P36" s="134"/>
      <c r="Q36" s="135"/>
    </row>
    <row r="37" spans="2:17" ht="20.25" customHeight="1">
      <c r="B37" s="36"/>
      <c r="C37" s="37"/>
      <c r="D37" s="38"/>
      <c r="E37" s="48"/>
      <c r="F37" s="48"/>
      <c r="G37" s="48"/>
      <c r="H37" s="49"/>
      <c r="I37" s="49"/>
      <c r="J37" s="49"/>
      <c r="K37" s="39"/>
      <c r="L37" s="108"/>
      <c r="M37" s="93"/>
      <c r="N37" s="94"/>
      <c r="O37" s="41"/>
      <c r="P37" s="111"/>
      <c r="Q37" s="112"/>
    </row>
    <row r="38" spans="2:17" ht="20.25" customHeight="1">
      <c r="B38" s="36"/>
      <c r="C38" s="37"/>
      <c r="D38" s="38"/>
      <c r="E38" s="48"/>
      <c r="F38" s="48"/>
      <c r="G38" s="48"/>
      <c r="H38" s="49"/>
      <c r="I38" s="49"/>
      <c r="J38" s="49"/>
      <c r="K38" s="39"/>
      <c r="L38" s="108"/>
      <c r="M38" s="93"/>
      <c r="N38" s="94"/>
      <c r="O38" s="41"/>
      <c r="P38" s="111"/>
      <c r="Q38" s="112"/>
    </row>
    <row r="39" spans="2:17" ht="20.25" customHeight="1">
      <c r="B39" s="36"/>
      <c r="C39" s="37"/>
      <c r="D39" s="38"/>
      <c r="E39" s="48"/>
      <c r="F39" s="48"/>
      <c r="G39" s="48"/>
      <c r="H39" s="49"/>
      <c r="I39" s="49"/>
      <c r="J39" s="49"/>
      <c r="K39" s="39"/>
      <c r="L39" s="108"/>
      <c r="M39" s="93"/>
      <c r="N39" s="94"/>
      <c r="O39" s="41"/>
      <c r="P39" s="111"/>
      <c r="Q39" s="112"/>
    </row>
    <row r="40" spans="2:17" ht="20.25" customHeight="1">
      <c r="B40" s="36"/>
      <c r="C40" s="37"/>
      <c r="D40" s="38"/>
      <c r="E40" s="48"/>
      <c r="F40" s="48"/>
      <c r="G40" s="48"/>
      <c r="H40" s="49"/>
      <c r="I40" s="49"/>
      <c r="J40" s="49"/>
      <c r="K40" s="39"/>
      <c r="L40" s="40"/>
      <c r="M40" s="42"/>
      <c r="N40" s="43"/>
      <c r="O40" s="41"/>
      <c r="P40" s="111"/>
      <c r="Q40" s="112"/>
    </row>
    <row r="41" spans="2:17" ht="20.25" customHeight="1" thickBot="1">
      <c r="B41" s="36"/>
      <c r="C41" s="37"/>
      <c r="D41" s="38"/>
      <c r="E41" s="48"/>
      <c r="F41" s="48"/>
      <c r="G41" s="48"/>
      <c r="H41" s="49"/>
      <c r="I41" s="49"/>
      <c r="J41" s="49"/>
      <c r="K41" s="39"/>
      <c r="L41" s="108"/>
      <c r="M41" s="93"/>
      <c r="N41" s="94"/>
      <c r="O41" s="41"/>
      <c r="P41" s="111"/>
      <c r="Q41" s="112"/>
    </row>
    <row r="42" spans="2:17" ht="20.25" customHeight="1" thickBot="1">
      <c r="B42" s="113" t="s">
        <v>32</v>
      </c>
      <c r="C42" s="114"/>
      <c r="D42" s="44">
        <f t="shared" ref="D42:J42" si="0">SUM(D14:D41)</f>
        <v>16072</v>
      </c>
      <c r="E42" s="44">
        <f t="shared" si="0"/>
        <v>0</v>
      </c>
      <c r="F42" s="44">
        <f t="shared" si="0"/>
        <v>0</v>
      </c>
      <c r="G42" s="44">
        <f t="shared" si="0"/>
        <v>0</v>
      </c>
      <c r="H42" s="44">
        <f t="shared" si="0"/>
        <v>0</v>
      </c>
      <c r="I42" s="44">
        <f t="shared" si="0"/>
        <v>0</v>
      </c>
      <c r="J42" s="45">
        <f t="shared" si="0"/>
        <v>0</v>
      </c>
      <c r="K42" s="46"/>
      <c r="L42" s="116"/>
      <c r="M42" s="115"/>
      <c r="N42" s="115"/>
      <c r="O42" s="115"/>
      <c r="P42" s="115"/>
      <c r="Q42" s="54"/>
    </row>
    <row r="43" spans="2:17" ht="20.25" customHeight="1">
      <c r="B43" s="113" t="s">
        <v>33</v>
      </c>
      <c r="C43" s="115"/>
      <c r="D43" s="115"/>
      <c r="E43" s="115"/>
      <c r="F43" s="115"/>
      <c r="G43" s="115"/>
      <c r="H43" s="115"/>
      <c r="I43" s="115"/>
      <c r="J43" s="115"/>
      <c r="K43" s="47"/>
      <c r="L43" s="117">
        <f>SUM(D42:J42)</f>
        <v>16072</v>
      </c>
      <c r="M43" s="115"/>
      <c r="N43" s="115"/>
      <c r="O43" s="115"/>
      <c r="P43" s="115"/>
      <c r="Q43" s="54"/>
    </row>
    <row r="44" spans="2:17" ht="12.75" customHeight="1">
      <c r="L44" s="1"/>
      <c r="P44" s="1"/>
      <c r="Q44" s="1"/>
    </row>
    <row r="45" spans="2:17" ht="12.75" customHeight="1">
      <c r="L45" s="1"/>
      <c r="P45" s="1"/>
      <c r="Q45" s="1"/>
    </row>
    <row r="46" spans="2:17" ht="12.75" customHeight="1">
      <c r="L46" s="1"/>
      <c r="P46" s="1"/>
      <c r="Q46" s="1"/>
    </row>
    <row r="47" spans="2:17" ht="12.75" customHeight="1">
      <c r="L47" s="1"/>
      <c r="P47" s="1"/>
      <c r="Q47" s="1"/>
    </row>
    <row r="48" spans="2:17" ht="12.75" customHeight="1">
      <c r="L48" s="1"/>
      <c r="P48" s="1"/>
      <c r="Q48" s="1"/>
    </row>
    <row r="49" spans="12:17" ht="12.75" customHeight="1">
      <c r="L49" s="1"/>
      <c r="P49" s="1"/>
      <c r="Q49" s="1"/>
    </row>
    <row r="50" spans="12:17" ht="12.75" customHeight="1">
      <c r="L50" s="1"/>
      <c r="P50" s="1"/>
      <c r="Q50" s="1"/>
    </row>
    <row r="51" spans="12:17" ht="12.75" customHeight="1">
      <c r="L51" s="1"/>
      <c r="P51" s="1"/>
      <c r="Q51" s="1"/>
    </row>
    <row r="52" spans="12:17" ht="12.75" customHeight="1">
      <c r="L52" s="1"/>
      <c r="P52" s="1"/>
      <c r="Q52" s="1"/>
    </row>
    <row r="53" spans="12:17" ht="12.75" customHeight="1">
      <c r="L53" s="1"/>
      <c r="P53" s="1"/>
      <c r="Q53" s="1"/>
    </row>
    <row r="54" spans="12:17" ht="12.75" customHeight="1">
      <c r="L54" s="1"/>
      <c r="P54" s="1"/>
      <c r="Q54" s="1"/>
    </row>
    <row r="55" spans="12:17" ht="12.75" customHeight="1">
      <c r="L55" s="1"/>
      <c r="P55" s="1"/>
      <c r="Q55" s="1"/>
    </row>
    <row r="56" spans="12:17" ht="12.75" customHeight="1">
      <c r="L56" s="1"/>
      <c r="P56" s="1"/>
      <c r="Q56" s="1"/>
    </row>
    <row r="57" spans="12:17" ht="12.75" customHeight="1">
      <c r="L57" s="1"/>
      <c r="P57" s="1"/>
      <c r="Q57" s="1"/>
    </row>
    <row r="58" spans="12:17" ht="12.75" customHeight="1">
      <c r="L58" s="1"/>
      <c r="P58" s="1"/>
      <c r="Q58" s="1"/>
    </row>
    <row r="59" spans="12:17" ht="12.75" customHeight="1">
      <c r="L59" s="1"/>
      <c r="P59" s="1"/>
      <c r="Q59" s="1"/>
    </row>
    <row r="60" spans="12:17" ht="12.75" customHeight="1">
      <c r="L60" s="1"/>
      <c r="P60" s="1"/>
      <c r="Q60" s="1"/>
    </row>
    <row r="61" spans="12:17" ht="12.75" customHeight="1">
      <c r="L61" s="1"/>
      <c r="P61" s="1"/>
      <c r="Q61" s="1"/>
    </row>
    <row r="62" spans="12:17" ht="12.75" customHeight="1">
      <c r="L62" s="1"/>
      <c r="P62" s="1"/>
      <c r="Q62" s="1"/>
    </row>
    <row r="63" spans="12:17" ht="12.75" customHeight="1">
      <c r="L63" s="1"/>
      <c r="P63" s="1"/>
      <c r="Q63" s="1"/>
    </row>
    <row r="64" spans="1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  <row r="1001" spans="12:17" ht="12.75" customHeight="1">
      <c r="L1001" s="1"/>
      <c r="P1001" s="1"/>
      <c r="Q1001" s="1"/>
    </row>
    <row r="1002" spans="12:17" ht="12.75" customHeight="1">
      <c r="L1002" s="1"/>
      <c r="P1002" s="1"/>
      <c r="Q1002" s="1"/>
    </row>
    <row r="1003" spans="12:17" ht="12.75" customHeight="1">
      <c r="L1003" s="1"/>
      <c r="P1003" s="1"/>
      <c r="Q1003" s="1"/>
    </row>
  </sheetData>
  <mergeCells count="82">
    <mergeCell ref="L26:N26"/>
    <mergeCell ref="L29:N29"/>
    <mergeCell ref="L28:N28"/>
    <mergeCell ref="P26:Q26"/>
    <mergeCell ref="P29:Q29"/>
    <mergeCell ref="L27:N27"/>
    <mergeCell ref="P27:Q27"/>
    <mergeCell ref="P28:Q28"/>
    <mergeCell ref="P19:Q19"/>
    <mergeCell ref="P21:Q21"/>
    <mergeCell ref="L16:N16"/>
    <mergeCell ref="L17:N17"/>
    <mergeCell ref="P17:Q17"/>
    <mergeCell ref="L18:N18"/>
    <mergeCell ref="P18:Q18"/>
    <mergeCell ref="L19:N19"/>
    <mergeCell ref="L21:N21"/>
    <mergeCell ref="L20:N20"/>
    <mergeCell ref="P20:Q20"/>
    <mergeCell ref="L14:N14"/>
    <mergeCell ref="P14:Q14"/>
    <mergeCell ref="L15:N15"/>
    <mergeCell ref="P15:Q15"/>
    <mergeCell ref="P16:Q16"/>
    <mergeCell ref="B8:D8"/>
    <mergeCell ref="E8:G8"/>
    <mergeCell ref="M10:P10"/>
    <mergeCell ref="D12:D13"/>
    <mergeCell ref="E12:E13"/>
    <mergeCell ref="F12:F13"/>
    <mergeCell ref="O12:Q12"/>
    <mergeCell ref="P13:Q13"/>
    <mergeCell ref="K12:K13"/>
    <mergeCell ref="L12:N13"/>
    <mergeCell ref="G12:G13"/>
    <mergeCell ref="H12:H13"/>
    <mergeCell ref="I12:I13"/>
    <mergeCell ref="J12:J13"/>
    <mergeCell ref="B12:C12"/>
    <mergeCell ref="B13:C13"/>
    <mergeCell ref="B1:Q1"/>
    <mergeCell ref="L3:P3"/>
    <mergeCell ref="N4:O4"/>
    <mergeCell ref="P4:Q4"/>
    <mergeCell ref="M5:M7"/>
    <mergeCell ref="N5:N7"/>
    <mergeCell ref="P5:Q7"/>
    <mergeCell ref="B42:C42"/>
    <mergeCell ref="B43:J43"/>
    <mergeCell ref="L36:N36"/>
    <mergeCell ref="L37:N37"/>
    <mergeCell ref="L38:N38"/>
    <mergeCell ref="L39:N39"/>
    <mergeCell ref="L41:N41"/>
    <mergeCell ref="L42:Q42"/>
    <mergeCell ref="L43:Q43"/>
    <mergeCell ref="P38:Q38"/>
    <mergeCell ref="P41:Q41"/>
    <mergeCell ref="P36:Q36"/>
    <mergeCell ref="P37:Q37"/>
    <mergeCell ref="P39:Q39"/>
    <mergeCell ref="P40:Q40"/>
    <mergeCell ref="P34:Q34"/>
    <mergeCell ref="P35:Q35"/>
    <mergeCell ref="L30:N30"/>
    <mergeCell ref="L33:N33"/>
    <mergeCell ref="L35:N35"/>
    <mergeCell ref="L31:N31"/>
    <mergeCell ref="L34:N34"/>
    <mergeCell ref="P33:Q33"/>
    <mergeCell ref="P30:Q30"/>
    <mergeCell ref="P32:Q32"/>
    <mergeCell ref="L32:N32"/>
    <mergeCell ref="P31:Q31"/>
    <mergeCell ref="L22:N22"/>
    <mergeCell ref="P23:Q23"/>
    <mergeCell ref="L24:N24"/>
    <mergeCell ref="P24:Q24"/>
    <mergeCell ref="L25:N25"/>
    <mergeCell ref="P25:Q25"/>
    <mergeCell ref="P22:Q22"/>
    <mergeCell ref="L23:N23"/>
  </mergeCells>
  <phoneticPr fontId="12"/>
  <pageMargins left="0.52" right="0.15748031496062992" top="0.67" bottom="0.34" header="0" footer="0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見本</vt:lpstr>
      <vt:lpstr>yymm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中村 真也</cp:lastModifiedBy>
  <cp:lastPrinted>2025-10-28T18:15:08Z</cp:lastPrinted>
  <dcterms:created xsi:type="dcterms:W3CDTF">2005-04-20T04:54:24Z</dcterms:created>
  <dcterms:modified xsi:type="dcterms:W3CDTF">2025-11-28T08:01:17Z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-1810508431</vt:i4>
  </property>
  <property fmtid="{D5CDD505-2E9C-101B-9397-08002B2CF9AE}" pid="3" name="_EmailSubject">
    <vt:lpwstr>立替金請求書(2月前半分).xls</vt:lpwstr>
  </property>
  <property fmtid="{D5CDD505-2E9C-101B-9397-08002B2CF9AE}" pid="4" name="_AuthorEmail">
    <vt:lpwstr>k-kuwahara@mediacreate-c.com</vt:lpwstr>
  </property>
  <property fmtid="{D5CDD505-2E9C-101B-9397-08002B2CF9AE}" pid="5" name="_AuthorEmailDisplayName">
    <vt:lpwstr>桑原一哉</vt:lpwstr>
  </property>
  <property fmtid="{D5CDD505-2E9C-101B-9397-08002B2CF9AE}" pid="6" name="_PreviousAdHocReviewCycleID">
    <vt:i4>-1121304375</vt:i4>
  </property>
  <property fmtid="{D5CDD505-2E9C-101B-9397-08002B2CF9AE}" pid="7" name="_ReviewingToolsShownOnce">
    <vt:lpwstr/>
  </property>
</Properties>
</file>